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hirot\source\repos\drxyzw\deep-learning-from-scratch\"/>
    </mc:Choice>
  </mc:AlternateContent>
  <bookViews>
    <workbookView xWindow="0" yWindow="0" windowWidth="17470" windowHeight="5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1" l="1"/>
  <c r="I24" i="1"/>
  <c r="H24" i="1"/>
  <c r="G24" i="1"/>
  <c r="F24" i="1"/>
  <c r="E24" i="1"/>
  <c r="D24" i="1"/>
  <c r="C24" i="1"/>
  <c r="B24" i="1"/>
  <c r="A24" i="1"/>
  <c r="J23" i="1"/>
  <c r="I23" i="1"/>
  <c r="H23" i="1"/>
  <c r="G23" i="1"/>
  <c r="F23" i="1"/>
  <c r="E23" i="1"/>
  <c r="D23" i="1"/>
  <c r="C23" i="1"/>
  <c r="B23" i="1"/>
  <c r="A23" i="1"/>
  <c r="J22" i="1"/>
  <c r="I22" i="1"/>
  <c r="H22" i="1"/>
  <c r="G22" i="1"/>
  <c r="F22" i="1"/>
  <c r="E22" i="1"/>
  <c r="D22" i="1"/>
  <c r="C22" i="1"/>
  <c r="B22" i="1"/>
  <c r="A22" i="1"/>
  <c r="A6" i="1"/>
  <c r="B6" i="1"/>
  <c r="C6" i="1"/>
  <c r="D6" i="1"/>
  <c r="E6" i="1"/>
  <c r="F6" i="1"/>
  <c r="G6" i="1"/>
  <c r="H6" i="1"/>
  <c r="I6" i="1"/>
  <c r="J6" i="1"/>
  <c r="A7" i="1"/>
  <c r="B7" i="1"/>
  <c r="C7" i="1"/>
  <c r="D7" i="1"/>
  <c r="E7" i="1"/>
  <c r="F7" i="1"/>
  <c r="G7" i="1"/>
  <c r="H7" i="1"/>
  <c r="I7" i="1"/>
  <c r="J7" i="1"/>
  <c r="A8" i="1"/>
  <c r="B8" i="1"/>
  <c r="C8" i="1"/>
  <c r="D8" i="1"/>
  <c r="E8" i="1"/>
  <c r="F8" i="1"/>
  <c r="G8" i="1"/>
  <c r="H8" i="1"/>
  <c r="I8" i="1"/>
  <c r="J8" i="1"/>
  <c r="K8" i="1" l="1"/>
  <c r="G12" i="1" s="1"/>
  <c r="K7" i="1"/>
  <c r="I11" i="1" s="1"/>
  <c r="H11" i="1"/>
  <c r="K6" i="1"/>
  <c r="A10" i="1" s="1"/>
  <c r="J11" i="1" l="1"/>
  <c r="C11" i="1"/>
  <c r="H12" i="1"/>
  <c r="A12" i="1"/>
  <c r="I12" i="1"/>
  <c r="E12" i="1"/>
  <c r="E11" i="1"/>
  <c r="D11" i="1"/>
  <c r="F11" i="1"/>
  <c r="G11" i="1"/>
  <c r="D12" i="1"/>
  <c r="J12" i="1"/>
  <c r="C12" i="1"/>
  <c r="B12" i="1"/>
  <c r="F12" i="1"/>
  <c r="B11" i="1"/>
  <c r="A11" i="1"/>
  <c r="G10" i="1"/>
  <c r="H10" i="1"/>
  <c r="I10" i="1"/>
  <c r="B10" i="1"/>
  <c r="D10" i="1"/>
  <c r="E10" i="1"/>
  <c r="F10" i="1"/>
  <c r="C10" i="1"/>
  <c r="J10" i="1"/>
</calcChain>
</file>

<file path=xl/sharedStrings.xml><?xml version="1.0" encoding="utf-8"?>
<sst xmlns="http://schemas.openxmlformats.org/spreadsheetml/2006/main" count="7" uniqueCount="7">
  <si>
    <t>x</t>
  </si>
  <si>
    <t>y</t>
  </si>
  <si>
    <t>t</t>
  </si>
  <si>
    <t>-CE</t>
  </si>
  <si>
    <t>expX</t>
  </si>
  <si>
    <t>y_test</t>
  </si>
  <si>
    <t>-CE_test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</si>
</sst>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A19" workbookViewId="0">
      <selection activeCell="F27" sqref="F27"/>
    </sheetView>
  </sheetViews>
  <sheetFormatPr defaultRowHeight="14.5" x14ac:dyDescent="0.35"/>
  <sheetData>
    <row r="1" spans="1:11" x14ac:dyDescent="0.35">
      <c r="A1" t="s">
        <v>0</v>
      </c>
    </row>
    <row r="2" spans="1:11" x14ac:dyDescent="0.35">
      <c r="A2">
        <v>-9.8766000000000001E-4</v>
      </c>
      <c r="B2">
        <v>-5.2226800000000004E-3</v>
      </c>
      <c r="C2">
        <v>-3.8320400000000001E-3</v>
      </c>
      <c r="D2">
        <v>-6.3596099999999999E-3</v>
      </c>
      <c r="E2">
        <v>1.6927999999999999E-3</v>
      </c>
      <c r="F2">
        <v>8.4566999999999997E-4</v>
      </c>
      <c r="G2">
        <v>-4.3455200000000003E-3</v>
      </c>
      <c r="H2">
        <v>-1.5522000000000001E-3</v>
      </c>
      <c r="I2">
        <v>2.3869999999999998E-3</v>
      </c>
      <c r="J2">
        <v>7.0227600000000003E-3</v>
      </c>
    </row>
    <row r="3" spans="1:11" x14ac:dyDescent="0.35">
      <c r="A3">
        <v>-2.3068799999999999E-3</v>
      </c>
      <c r="B3">
        <v>4.9102E-4</v>
      </c>
      <c r="C3">
        <v>-4.8881300000000001E-3</v>
      </c>
      <c r="D3">
        <v>-1.2182709999999999E-2</v>
      </c>
      <c r="E3">
        <v>6.7652999999999995E-4</v>
      </c>
      <c r="F3">
        <v>1.21423E-3</v>
      </c>
      <c r="G3">
        <v>3.6960399999999998E-3</v>
      </c>
      <c r="H3">
        <v>-1.0069730000000001E-2</v>
      </c>
      <c r="I3">
        <v>5.3023000000000002E-3</v>
      </c>
      <c r="J3">
        <v>4.4244799999999997E-3</v>
      </c>
    </row>
    <row r="4" spans="1:11" x14ac:dyDescent="0.35">
      <c r="A4">
        <v>9.6065300000000003E-3</v>
      </c>
      <c r="B4">
        <v>1.66058E-3</v>
      </c>
      <c r="C4">
        <v>-6.6116200000000003E-3</v>
      </c>
      <c r="D4">
        <v>-8.1088900000000005E-3</v>
      </c>
      <c r="E4">
        <v>-2.7142400000000001E-3</v>
      </c>
      <c r="F4">
        <v>7.3955599999999998E-3</v>
      </c>
      <c r="G4">
        <v>-4.7637900000000004E-3</v>
      </c>
      <c r="H4">
        <v>-1.21941E-3</v>
      </c>
      <c r="I4">
        <v>-3.8479999999999999E-3</v>
      </c>
      <c r="J4">
        <v>1.2240940000000001E-2</v>
      </c>
    </row>
    <row r="5" spans="1:11" x14ac:dyDescent="0.35">
      <c r="A5" t="s">
        <v>4</v>
      </c>
    </row>
    <row r="6" spans="1:11" x14ac:dyDescent="0.35">
      <c r="A6">
        <f>EXP(A2)</f>
        <v>0.99901282757560494</v>
      </c>
      <c r="B6">
        <f>EXP(B2)</f>
        <v>0.99479093448151934</v>
      </c>
      <c r="C6">
        <f>EXP(C2)</f>
        <v>0.99617529289564066</v>
      </c>
      <c r="D6">
        <f>EXP(D2)</f>
        <v>0.99366056951905768</v>
      </c>
      <c r="E6">
        <f>EXP(E2)</f>
        <v>1.0016942335947356</v>
      </c>
      <c r="F6">
        <f>EXP(F2)</f>
        <v>1.0008460276796938</v>
      </c>
      <c r="G6">
        <f>EXP(G2)</f>
        <v>0.99566390811041039</v>
      </c>
      <c r="H6">
        <f>EXP(H2)</f>
        <v>0.99844900403936943</v>
      </c>
      <c r="I6">
        <f>EXP(I2)</f>
        <v>1.0023898511526157</v>
      </c>
      <c r="J6">
        <f>EXP(J2)</f>
        <v>1.0070474774066021</v>
      </c>
      <c r="K6">
        <f>SUM(A6:J6)</f>
        <v>9.9897301264552496</v>
      </c>
    </row>
    <row r="7" spans="1:11" x14ac:dyDescent="0.35">
      <c r="A7">
        <f>EXP(A3)</f>
        <v>0.99769577880276128</v>
      </c>
      <c r="B7">
        <f>EXP(B3)</f>
        <v>1.0004911405700534</v>
      </c>
      <c r="C7">
        <f>EXP(C3)</f>
        <v>0.99512379746520108</v>
      </c>
      <c r="D7">
        <f>EXP(D3)</f>
        <v>0.98789119877064047</v>
      </c>
      <c r="E7">
        <f>EXP(E3)</f>
        <v>1.0006767588980363</v>
      </c>
      <c r="F7">
        <f>EXP(F3)</f>
        <v>1.0012149674757047</v>
      </c>
      <c r="G7">
        <f>EXP(G3)</f>
        <v>1.0037028787787117</v>
      </c>
      <c r="H7">
        <f>EXP(H3)</f>
        <v>0.98998079998115107</v>
      </c>
      <c r="I7">
        <f>EXP(I3)</f>
        <v>1.0053163820707649</v>
      </c>
      <c r="J7">
        <f>EXP(J3)</f>
        <v>1.0044342824632375</v>
      </c>
      <c r="K7">
        <f>SUM(A7:J7)</f>
        <v>9.9865279852762612</v>
      </c>
    </row>
    <row r="8" spans="1:11" x14ac:dyDescent="0.35">
      <c r="A8">
        <f>EXP(A4)</f>
        <v>1.0096528208219688</v>
      </c>
      <c r="B8">
        <f>EXP(B4)</f>
        <v>1.0016619595264673</v>
      </c>
      <c r="C8">
        <f>EXP(C4)</f>
        <v>0.99341018866949726</v>
      </c>
      <c r="D8">
        <f>EXP(D4)</f>
        <v>0.99192389836291772</v>
      </c>
      <c r="E8">
        <f>EXP(E4)</f>
        <v>0.99728944021896992</v>
      </c>
      <c r="F8">
        <f>EXP(F4)</f>
        <v>1.0074229746945249</v>
      </c>
      <c r="G8">
        <f>EXP(G4)</f>
        <v>0.99524753885102046</v>
      </c>
      <c r="H8">
        <f>EXP(H4)</f>
        <v>0.99878133317826367</v>
      </c>
      <c r="I8">
        <f>EXP(I4)</f>
        <v>0.996159394064839</v>
      </c>
      <c r="J8">
        <f>EXP(J4)</f>
        <v>1.0123161669421692</v>
      </c>
      <c r="K8">
        <f>SUM(A8:J8)</f>
        <v>10.003865715330639</v>
      </c>
    </row>
    <row r="9" spans="1:11" x14ac:dyDescent="0.35">
      <c r="A9" t="s">
        <v>5</v>
      </c>
    </row>
    <row r="10" spans="1:11" x14ac:dyDescent="0.35">
      <c r="A10">
        <f t="shared" ref="A10:J10" si="0">A6/$K6</f>
        <v>0.10000398558615457</v>
      </c>
      <c r="B10">
        <f t="shared" si="0"/>
        <v>9.9581362247921953E-2</v>
      </c>
      <c r="C10">
        <f t="shared" si="0"/>
        <v>9.9719940407351423E-2</v>
      </c>
      <c r="D10">
        <f t="shared" si="0"/>
        <v>9.9468209545281044E-2</v>
      </c>
      <c r="E10">
        <f t="shared" si="0"/>
        <v>0.10027240184817447</v>
      </c>
      <c r="F10">
        <f t="shared" si="0"/>
        <v>0.10018749405744291</v>
      </c>
      <c r="G10">
        <f t="shared" si="0"/>
        <v>9.9668749356266267E-2</v>
      </c>
      <c r="H10">
        <f t="shared" si="0"/>
        <v>9.9947545269039068E-2</v>
      </c>
      <c r="I10">
        <f t="shared" si="0"/>
        <v>0.10034203511644846</v>
      </c>
      <c r="J10">
        <f t="shared" si="0"/>
        <v>0.10080827656591983</v>
      </c>
    </row>
    <row r="11" spans="1:11" x14ac:dyDescent="0.35">
      <c r="A11">
        <f t="shared" ref="A11:J11" si="1">A7/$K7</f>
        <v>9.9904168923746484E-2</v>
      </c>
      <c r="B11">
        <f t="shared" si="1"/>
        <v>0.10018408220005368</v>
      </c>
      <c r="C11">
        <f t="shared" si="1"/>
        <v>9.9646623824854036E-2</v>
      </c>
      <c r="D11">
        <f t="shared" si="1"/>
        <v>9.8922388264184299E-2</v>
      </c>
      <c r="E11">
        <f t="shared" si="1"/>
        <v>0.10020266907311473</v>
      </c>
      <c r="F11">
        <f t="shared" si="1"/>
        <v>0.10025656253623443</v>
      </c>
      <c r="G11">
        <f t="shared" si="1"/>
        <v>0.10050568929046523</v>
      </c>
      <c r="H11">
        <f t="shared" si="1"/>
        <v>9.9131630276382277E-2</v>
      </c>
      <c r="I11">
        <f t="shared" si="1"/>
        <v>0.10066725728430975</v>
      </c>
      <c r="J11">
        <f t="shared" si="1"/>
        <v>0.10057892832665521</v>
      </c>
    </row>
    <row r="12" spans="1:11" x14ac:dyDescent="0.35">
      <c r="A12">
        <f t="shared" ref="A12:J12" si="2">A8/$K8</f>
        <v>0.10092626686049021</v>
      </c>
      <c r="B12">
        <f t="shared" si="2"/>
        <v>0.10012748951552287</v>
      </c>
      <c r="C12">
        <f t="shared" si="2"/>
        <v>9.9302631296532148E-2</v>
      </c>
      <c r="D12">
        <f t="shared" si="2"/>
        <v>9.9154059699424257E-2</v>
      </c>
      <c r="E12">
        <f t="shared" si="2"/>
        <v>9.9690406548605739E-2</v>
      </c>
      <c r="F12">
        <f t="shared" si="2"/>
        <v>0.10070336841394002</v>
      </c>
      <c r="G12">
        <f t="shared" si="2"/>
        <v>9.9486295315403123E-2</v>
      </c>
      <c r="H12">
        <f t="shared" si="2"/>
        <v>9.9839538194486141E-2</v>
      </c>
      <c r="I12">
        <f t="shared" si="2"/>
        <v>9.9577445600679465E-2</v>
      </c>
      <c r="J12">
        <f t="shared" si="2"/>
        <v>0.10119249855491598</v>
      </c>
    </row>
    <row r="13" spans="1:11" x14ac:dyDescent="0.35">
      <c r="A13" t="s">
        <v>1</v>
      </c>
    </row>
    <row r="14" spans="1:11" x14ac:dyDescent="0.35">
      <c r="A14">
        <v>0.10000399</v>
      </c>
      <c r="B14">
        <v>9.9581359999999994E-2</v>
      </c>
      <c r="C14">
        <v>9.9719940000000007E-2</v>
      </c>
      <c r="D14">
        <v>9.9468210000000001E-2</v>
      </c>
      <c r="E14">
        <v>0.1002724</v>
      </c>
      <c r="F14">
        <v>0.10018749</v>
      </c>
      <c r="G14">
        <v>9.966875E-2</v>
      </c>
      <c r="H14">
        <v>9.9947549999999996E-2</v>
      </c>
      <c r="I14">
        <v>0.10034203999999999</v>
      </c>
      <c r="J14">
        <v>0.10080828</v>
      </c>
    </row>
    <row r="15" spans="1:11" x14ac:dyDescent="0.35">
      <c r="A15">
        <v>9.990417E-2</v>
      </c>
      <c r="B15">
        <v>0.10018407999999999</v>
      </c>
      <c r="C15">
        <v>9.9646620000000005E-2</v>
      </c>
      <c r="D15">
        <v>9.8922389999999999E-2</v>
      </c>
      <c r="E15">
        <v>0.10020266999999999</v>
      </c>
      <c r="F15">
        <v>0.10025655999999999</v>
      </c>
      <c r="G15">
        <v>0.10050568999999999</v>
      </c>
      <c r="H15">
        <v>9.9131629999999998E-2</v>
      </c>
      <c r="I15">
        <v>0.10066725999999999</v>
      </c>
      <c r="J15">
        <v>0.10057893</v>
      </c>
    </row>
    <row r="16" spans="1:11" x14ac:dyDescent="0.35">
      <c r="A16">
        <v>0.10092627</v>
      </c>
      <c r="B16">
        <v>0.10012749</v>
      </c>
      <c r="C16">
        <v>9.9302630000000003E-2</v>
      </c>
      <c r="D16">
        <v>9.9154060000000002E-2</v>
      </c>
      <c r="E16">
        <v>9.9690409999999993E-2</v>
      </c>
      <c r="F16">
        <v>0.10070337</v>
      </c>
      <c r="G16">
        <v>9.94863E-2</v>
      </c>
      <c r="H16">
        <v>9.9839540000000004E-2</v>
      </c>
      <c r="I16">
        <v>9.9577449999999998E-2</v>
      </c>
      <c r="J16">
        <v>0.1011925</v>
      </c>
    </row>
    <row r="17" spans="1:10" x14ac:dyDescent="0.35">
      <c r="A17" t="s">
        <v>2</v>
      </c>
    </row>
    <row r="18" spans="1:10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5">
      <c r="A20">
        <v>0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5">
      <c r="A21" s="1" t="s">
        <v>6</v>
      </c>
    </row>
    <row r="22" spans="1:10" x14ac:dyDescent="0.35">
      <c r="A22">
        <f>IF(A18=0,0,-LN(A14))</f>
        <v>0</v>
      </c>
      <c r="B22">
        <f t="shared" ref="B22:J22" si="3">IF(B18=0,0,-LN(B14))</f>
        <v>0</v>
      </c>
      <c r="C22">
        <f t="shared" si="3"/>
        <v>0</v>
      </c>
      <c r="D22">
        <f t="shared" si="3"/>
        <v>0</v>
      </c>
      <c r="E22">
        <f t="shared" si="3"/>
        <v>0</v>
      </c>
      <c r="F22">
        <f t="shared" si="3"/>
        <v>2.3007119484252212</v>
      </c>
      <c r="G22">
        <f t="shared" si="3"/>
        <v>0</v>
      </c>
      <c r="H22">
        <f t="shared" si="3"/>
        <v>0</v>
      </c>
      <c r="I22">
        <f t="shared" si="3"/>
        <v>0</v>
      </c>
      <c r="J22">
        <f t="shared" si="3"/>
        <v>0</v>
      </c>
    </row>
    <row r="23" spans="1:10" x14ac:dyDescent="0.35">
      <c r="A23">
        <f t="shared" ref="A23:J23" si="4">IF(A19=0,0,-LN(A15))</f>
        <v>2.3035438524570497</v>
      </c>
      <c r="B23">
        <f t="shared" si="4"/>
        <v>0</v>
      </c>
      <c r="C23">
        <f t="shared" si="4"/>
        <v>0</v>
      </c>
      <c r="D23">
        <f t="shared" si="4"/>
        <v>0</v>
      </c>
      <c r="E23">
        <f t="shared" si="4"/>
        <v>0</v>
      </c>
      <c r="F23">
        <f t="shared" si="4"/>
        <v>0</v>
      </c>
      <c r="G23">
        <f t="shared" si="4"/>
        <v>0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x14ac:dyDescent="0.35">
      <c r="A24">
        <f t="shared" ref="A24:J24" si="5">IF(A20=0,0,-LN(A16))</f>
        <v>0</v>
      </c>
      <c r="B24">
        <f t="shared" si="5"/>
        <v>0</v>
      </c>
      <c r="C24">
        <f t="shared" si="5"/>
        <v>0</v>
      </c>
      <c r="D24">
        <f t="shared" si="5"/>
        <v>0</v>
      </c>
      <c r="E24">
        <f t="shared" si="5"/>
        <v>2.3056857952064584</v>
      </c>
      <c r="F24">
        <f t="shared" si="5"/>
        <v>0</v>
      </c>
      <c r="G24">
        <f t="shared" si="5"/>
        <v>0</v>
      </c>
      <c r="H24">
        <f t="shared" si="5"/>
        <v>0</v>
      </c>
      <c r="I24">
        <f t="shared" si="5"/>
        <v>0</v>
      </c>
      <c r="J24">
        <f t="shared" si="5"/>
        <v>0</v>
      </c>
    </row>
    <row r="25" spans="1:10" x14ac:dyDescent="0.35">
      <c r="A25" s="1" t="s">
        <v>3</v>
      </c>
    </row>
    <row r="26" spans="1:10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-3.3996859599999998</v>
      </c>
      <c r="G26">
        <v>0</v>
      </c>
      <c r="H26">
        <v>0</v>
      </c>
      <c r="I26">
        <v>0</v>
      </c>
      <c r="J26">
        <v>0</v>
      </c>
    </row>
    <row r="27" spans="1:10" x14ac:dyDescent="0.35">
      <c r="A27">
        <v>-3.4028385000000001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35">
      <c r="A28">
        <v>0</v>
      </c>
      <c r="B28">
        <v>0</v>
      </c>
      <c r="C28">
        <v>0</v>
      </c>
      <c r="D28">
        <v>0</v>
      </c>
      <c r="E28">
        <v>-3.4032458600000002</v>
      </c>
      <c r="F28">
        <v>0</v>
      </c>
      <c r="G28">
        <v>0</v>
      </c>
      <c r="H28">
        <v>0</v>
      </c>
      <c r="I28">
        <v>0</v>
      </c>
      <c r="J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Hiroto Ogawa</dc:creator>
  <cp:lastModifiedBy>Hiroto Ogawa</cp:lastModifiedBy>
  <dcterms:created xsi:type="dcterms:W3CDTF">2025-11-03T12:43:55Z</dcterms:created>
  <dcterms:modified xsi:type="dcterms:W3CDTF">2025-11-03T14:02:03Z</dcterms:modified>
</cp:coreProperties>
</file>